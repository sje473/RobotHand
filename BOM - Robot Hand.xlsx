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j\OneDrive\Documents\"/>
    </mc:Choice>
  </mc:AlternateContent>
  <xr:revisionPtr revIDLastSave="0" documentId="8_{F2FDC368-BF69-4B2F-A166-8EE5A024120E}" xr6:coauthVersionLast="47" xr6:coauthVersionMax="47" xr10:uidLastSave="{00000000-0000-0000-0000-000000000000}"/>
  <bookViews>
    <workbookView xWindow="-120" yWindow="-120" windowWidth="28110" windowHeight="16440" xr2:uid="{BC3E7FC2-5D69-43A9-AC5E-734C307EB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9" i="1"/>
  <c r="E15" i="1"/>
  <c r="E16" i="1"/>
  <c r="E17" i="1"/>
  <c r="E14" i="1"/>
  <c r="E13" i="1"/>
  <c r="E12" i="1"/>
  <c r="E8" i="1"/>
  <c r="E7" i="1"/>
  <c r="E6" i="1"/>
  <c r="E4" i="1"/>
  <c r="E5" i="1"/>
</calcChain>
</file>

<file path=xl/sharedStrings.xml><?xml version="1.0" encoding="utf-8"?>
<sst xmlns="http://schemas.openxmlformats.org/spreadsheetml/2006/main" count="60" uniqueCount="50">
  <si>
    <t>Part Name</t>
  </si>
  <si>
    <t>Item Number</t>
  </si>
  <si>
    <t>Quantity</t>
  </si>
  <si>
    <t>Description</t>
  </si>
  <si>
    <t>Link</t>
  </si>
  <si>
    <t>Notes</t>
  </si>
  <si>
    <t>Arduino Board</t>
  </si>
  <si>
    <t>DOIT DEVIT V1 ESP32-WROOM-32 Development Board</t>
  </si>
  <si>
    <t>https://www.amazon.ca/DIYmall-ESP-WROOM-32-Development-Bluetooth-Consumption/dp/B084KWNMM4/</t>
  </si>
  <si>
    <t>https://www.amazon.ca/dp/B0CXXPFNMF</t>
  </si>
  <si>
    <t>Servos</t>
  </si>
  <si>
    <t>Cost</t>
  </si>
  <si>
    <t>Unit Cost</t>
  </si>
  <si>
    <t>CAD</t>
  </si>
  <si>
    <t>5 PCS SG90 Servo Motors Kit Mini for Fixed Wing Helicopter Model QC</t>
  </si>
  <si>
    <t>Rubber Bands</t>
  </si>
  <si>
    <t>(Experiment with different bands to find adequate tension force)</t>
  </si>
  <si>
    <t>Officemate Assorted Size and Color Rubber Bands</t>
  </si>
  <si>
    <t>https://www.amazon.ca/Officemate-Assorted-Color-Rubber-82025/dp/B07QJH4NYQ/</t>
  </si>
  <si>
    <t>3D Printer Filament</t>
  </si>
  <si>
    <t>Bamboo PLA Basic Refill Filament 1.75mm 1</t>
  </si>
  <si>
    <t>https://www.amazon.ca/Ranekie-Invisible-Resistant-monofilament-Decorations/dp/B098K3YH3M</t>
  </si>
  <si>
    <t>https://www.amazon.ca/Bamboo-Refill-Filament-Printers-Printing/dp/B0FGQ2V2WH/</t>
  </si>
  <si>
    <t>String</t>
  </si>
  <si>
    <t>Fishing Wire, Mckanti Fishing line Clear Nylon String 1640 FT</t>
  </si>
  <si>
    <t>Wont use the entire roll, entire design uses roughly 200g (15% infill)</t>
  </si>
  <si>
    <t>5V &gt;5A Power Source</t>
  </si>
  <si>
    <t>https://www.amazon.ca/Adapter-100-240V-Converter-5-5x2-5mm-Security/dp/B0BZL1G6DS/</t>
  </si>
  <si>
    <t>I used the 5V rail on a spare PSU I had laying around, what matters is that you have enough current, each servo requires at least 1A of current dedicated for safety</t>
  </si>
  <si>
    <t>YOOFONE 5V Power Supply 5A 25W AC/DC Adapter</t>
  </si>
  <si>
    <t>Core Components</t>
  </si>
  <si>
    <t>Tools / Power</t>
  </si>
  <si>
    <t>Soldering Iron</t>
  </si>
  <si>
    <t>Solder</t>
  </si>
  <si>
    <t>Assorted Kit of Nuts and Bolts</t>
  </si>
  <si>
    <t>18AWG Gauge Wire</t>
  </si>
  <si>
    <t>Electrical Wire 18 AWG 18 Gauge Silicone Wire Hook Up wire Cable 20 Feet</t>
  </si>
  <si>
    <t>https://www.amazon.ca/Electrical-Gauge-Silicone-Cable-Black/dp/B0746HMTPP</t>
  </si>
  <si>
    <t>(for power line)</t>
  </si>
  <si>
    <t>Breadboard Jumper Cables</t>
  </si>
  <si>
    <t>for data signals from arduino</t>
  </si>
  <si>
    <t>https://www.amazon.ca/EDGELEC-Breadboard-Optional-Assorted-Multicolored/dp/B07GD2BWPY</t>
  </si>
  <si>
    <t>EDGELEC 120pcs Breadboard Jumper Wires 10cm 15cm 20cm</t>
  </si>
  <si>
    <t xml:space="preserve">TXINLEI Electronics Soldering Iron Kit，60W 110V Adjustable Temperature </t>
  </si>
  <si>
    <t>https://www.amazon.ca/TXINLEI-Electronics-Soldering-Adjustable-Temperature/dp/B08K8VFTF9</t>
  </si>
  <si>
    <t>TOWOT 63-37 High Purity Tin Lead Rosin Core Solder Wire for Electrical Soldering</t>
  </si>
  <si>
    <t>https://www.amazon.ca/TOWOT-Purity-Electrical-Soldering-Content/dp/B09KM2LW4G</t>
  </si>
  <si>
    <t>https://www.amazon.ca/Washers-Stainless-Machine-Commercial-Industrial/dp/B09X1G1ZV2</t>
  </si>
  <si>
    <t>Bolts and Nuts Set,M2 M2.5 M3 M4 M5 Cross Pan Head Screws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</si>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</sst>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2"/>
    <xf numFmtId="44" fontId="0" fillId="0" borderId="0" xfId="1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EDGELEC-Breadboard-Optional-Assorted-Multicolored/dp/B07GD2BWPY" TargetMode="External"/><Relationship Id="rId3" Type="http://schemas.openxmlformats.org/officeDocument/2006/relationships/hyperlink" Target="https://www.amazon.ca/Officemate-Assorted-Color-Rubber-82025/dp/B07QJH4NYQ/" TargetMode="External"/><Relationship Id="rId7" Type="http://schemas.openxmlformats.org/officeDocument/2006/relationships/hyperlink" Target="https://www.amazon.ca/Electrical-Gauge-Silicone-Cable-Black/dp/B0746HMTPP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a/dp/B0CXXPFNMF" TargetMode="External"/><Relationship Id="rId1" Type="http://schemas.openxmlformats.org/officeDocument/2006/relationships/hyperlink" Target="https://www.amazon.ca/DIYmall-ESP-WROOM-32-Development-Bluetooth-Consumption/dp/B084KWNMM4/" TargetMode="External"/><Relationship Id="rId6" Type="http://schemas.openxmlformats.org/officeDocument/2006/relationships/hyperlink" Target="https://www.amazon.ca/Adapter-100-240V-Converter-5-5x2-5mm-Security/dp/B0BZL1G6DS/" TargetMode="External"/><Relationship Id="rId11" Type="http://schemas.openxmlformats.org/officeDocument/2006/relationships/hyperlink" Target="https://www.amazon.ca/Washers-Stainless-Machine-Commercial-Industrial/dp/B09X1G1ZV2" TargetMode="External"/><Relationship Id="rId5" Type="http://schemas.openxmlformats.org/officeDocument/2006/relationships/hyperlink" Target="https://www.amazon.ca/Bamboo-Refill-Filament-Printers-Printing/dp/B0FGQ2V2WH/" TargetMode="External"/><Relationship Id="rId10" Type="http://schemas.openxmlformats.org/officeDocument/2006/relationships/hyperlink" Target="https://www.amazon.ca/TOWOT-Purity-Electrical-Soldering-Content/dp/B09KM2LW4G" TargetMode="External"/><Relationship Id="rId4" Type="http://schemas.openxmlformats.org/officeDocument/2006/relationships/hyperlink" Target="https://www.amazon.ca/Ranekie-Invisible-Resistant-monofilament-Decorations/dp/B098K3YH3M" TargetMode="External"/><Relationship Id="rId9" Type="http://schemas.openxmlformats.org/officeDocument/2006/relationships/hyperlink" Target="https://www.amazon.ca/TXINLEI-Electronics-Soldering-Adjustable-Temperature/dp/B08K8VFT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682C-CA00-4847-8FCE-D4D8C6F29219}">
  <dimension ref="B1:I32"/>
  <sheetViews>
    <sheetView tabSelected="1" topLeftCell="B1" workbookViewId="0">
      <selection activeCell="E23" sqref="E23"/>
    </sheetView>
  </sheetViews>
  <sheetFormatPr defaultRowHeight="15" x14ac:dyDescent="0.25"/>
  <cols>
    <col min="2" max="2" width="12" customWidth="1"/>
    <col min="3" max="3" width="28.42578125" customWidth="1"/>
    <col min="4" max="4" width="53.7109375" customWidth="1"/>
    <col min="5" max="5" width="12.5703125" customWidth="1"/>
    <col min="6" max="6" width="9.5703125" customWidth="1"/>
    <col min="7" max="7" width="11.85546875" customWidth="1"/>
    <col min="8" max="9" width="59.7109375" customWidth="1"/>
  </cols>
  <sheetData>
    <row r="1" spans="2:9" x14ac:dyDescent="0.25">
      <c r="B1" s="4" t="s">
        <v>30</v>
      </c>
      <c r="C1" s="4"/>
      <c r="D1" s="4"/>
      <c r="E1" s="4"/>
      <c r="F1" s="4"/>
      <c r="G1" s="4"/>
      <c r="H1" s="4"/>
      <c r="I1" s="5"/>
    </row>
    <row r="2" spans="2:9" x14ac:dyDescent="0.25">
      <c r="E2" s="3" t="s">
        <v>13</v>
      </c>
      <c r="G2" s="3" t="s">
        <v>13</v>
      </c>
    </row>
    <row r="3" spans="2:9" x14ac:dyDescent="0.25">
      <c r="B3" t="s">
        <v>1</v>
      </c>
      <c r="C3" t="s">
        <v>0</v>
      </c>
      <c r="D3" t="s">
        <v>3</v>
      </c>
      <c r="E3" t="s">
        <v>12</v>
      </c>
      <c r="F3" t="s">
        <v>2</v>
      </c>
      <c r="G3" t="s">
        <v>11</v>
      </c>
      <c r="H3" t="s">
        <v>5</v>
      </c>
      <c r="I3" t="s">
        <v>4</v>
      </c>
    </row>
    <row r="4" spans="2:9" x14ac:dyDescent="0.25">
      <c r="B4">
        <v>1</v>
      </c>
      <c r="C4" t="s">
        <v>6</v>
      </c>
      <c r="D4" t="s">
        <v>7</v>
      </c>
      <c r="E4" s="2">
        <f>G4/F4</f>
        <v>23.88</v>
      </c>
      <c r="F4">
        <v>1</v>
      </c>
      <c r="G4" s="2">
        <v>23.88</v>
      </c>
      <c r="I4" s="1" t="s">
        <v>8</v>
      </c>
    </row>
    <row r="5" spans="2:9" x14ac:dyDescent="0.25">
      <c r="B5">
        <v>2</v>
      </c>
      <c r="C5" t="s">
        <v>10</v>
      </c>
      <c r="D5" t="s">
        <v>14</v>
      </c>
      <c r="E5" s="2">
        <f>G5/F5</f>
        <v>3.3979999999999997</v>
      </c>
      <c r="F5">
        <v>5</v>
      </c>
      <c r="G5" s="2">
        <v>16.989999999999998</v>
      </c>
      <c r="I5" s="1" t="s">
        <v>9</v>
      </c>
    </row>
    <row r="6" spans="2:9" x14ac:dyDescent="0.25">
      <c r="B6">
        <v>3</v>
      </c>
      <c r="C6" t="s">
        <v>15</v>
      </c>
      <c r="D6" t="s">
        <v>17</v>
      </c>
      <c r="E6" s="2">
        <f>G6/F6</f>
        <v>8.43</v>
      </c>
      <c r="F6">
        <v>1</v>
      </c>
      <c r="G6" s="2">
        <v>8.43</v>
      </c>
      <c r="H6" t="s">
        <v>16</v>
      </c>
      <c r="I6" s="1" t="s">
        <v>18</v>
      </c>
    </row>
    <row r="7" spans="2:9" x14ac:dyDescent="0.25">
      <c r="B7">
        <v>4</v>
      </c>
      <c r="C7" t="s">
        <v>19</v>
      </c>
      <c r="D7" t="s">
        <v>20</v>
      </c>
      <c r="E7" s="2">
        <f>G7*F7</f>
        <v>35.99</v>
      </c>
      <c r="F7">
        <v>1</v>
      </c>
      <c r="G7" s="2">
        <v>35.99</v>
      </c>
      <c r="H7" t="s">
        <v>25</v>
      </c>
      <c r="I7" s="1" t="s">
        <v>22</v>
      </c>
    </row>
    <row r="8" spans="2:9" x14ac:dyDescent="0.25">
      <c r="B8">
        <v>5</v>
      </c>
      <c r="C8" t="s">
        <v>23</v>
      </c>
      <c r="D8" t="s">
        <v>24</v>
      </c>
      <c r="E8" s="2">
        <f>G8*F8</f>
        <v>9.99</v>
      </c>
      <c r="F8">
        <v>1</v>
      </c>
      <c r="G8" s="2">
        <v>9.99</v>
      </c>
      <c r="I8" s="1" t="s">
        <v>21</v>
      </c>
    </row>
    <row r="9" spans="2:9" x14ac:dyDescent="0.25">
      <c r="D9" s="4" t="s">
        <v>49</v>
      </c>
      <c r="E9" s="4"/>
      <c r="F9" s="4"/>
      <c r="G9" s="6">
        <f>SUM(G4:G8)</f>
        <v>95.279999999999987</v>
      </c>
    </row>
    <row r="10" spans="2:9" x14ac:dyDescent="0.25">
      <c r="B10" s="4" t="s">
        <v>31</v>
      </c>
      <c r="C10" s="4"/>
      <c r="D10" s="4"/>
      <c r="E10" s="4"/>
      <c r="F10" s="4"/>
      <c r="G10" s="4"/>
      <c r="H10" s="4"/>
    </row>
    <row r="11" spans="2:9" x14ac:dyDescent="0.25">
      <c r="B11" t="s">
        <v>1</v>
      </c>
      <c r="C11" t="s">
        <v>0</v>
      </c>
      <c r="D11" t="s">
        <v>3</v>
      </c>
      <c r="E11" t="s">
        <v>12</v>
      </c>
      <c r="F11" t="s">
        <v>2</v>
      </c>
      <c r="G11" t="s">
        <v>11</v>
      </c>
      <c r="H11" t="s">
        <v>5</v>
      </c>
      <c r="I11" t="s">
        <v>4</v>
      </c>
    </row>
    <row r="12" spans="2:9" x14ac:dyDescent="0.25">
      <c r="B12">
        <v>1</v>
      </c>
      <c r="C12" t="s">
        <v>26</v>
      </c>
      <c r="D12" t="s">
        <v>29</v>
      </c>
      <c r="E12" s="2">
        <f>G12*F12</f>
        <v>23.69</v>
      </c>
      <c r="F12">
        <v>1</v>
      </c>
      <c r="G12" s="2">
        <v>23.69</v>
      </c>
      <c r="H12" t="s">
        <v>28</v>
      </c>
      <c r="I12" s="1" t="s">
        <v>27</v>
      </c>
    </row>
    <row r="13" spans="2:9" x14ac:dyDescent="0.25">
      <c r="B13">
        <v>3</v>
      </c>
      <c r="C13" t="s">
        <v>35</v>
      </c>
      <c r="D13" t="s">
        <v>36</v>
      </c>
      <c r="E13" s="2">
        <f>G13*F13</f>
        <v>7.68</v>
      </c>
      <c r="F13">
        <v>1</v>
      </c>
      <c r="G13" s="2">
        <v>7.68</v>
      </c>
      <c r="H13" t="s">
        <v>38</v>
      </c>
      <c r="I13" s="1" t="s">
        <v>37</v>
      </c>
    </row>
    <row r="14" spans="2:9" x14ac:dyDescent="0.25">
      <c r="B14">
        <v>3</v>
      </c>
      <c r="C14" t="s">
        <v>39</v>
      </c>
      <c r="D14" t="s">
        <v>42</v>
      </c>
      <c r="E14" s="2">
        <f>G14*F14</f>
        <v>9.99</v>
      </c>
      <c r="F14">
        <v>1</v>
      </c>
      <c r="G14" s="2">
        <v>9.99</v>
      </c>
      <c r="H14" t="s">
        <v>40</v>
      </c>
      <c r="I14" s="1" t="s">
        <v>41</v>
      </c>
    </row>
    <row r="15" spans="2:9" x14ac:dyDescent="0.25">
      <c r="B15">
        <v>3</v>
      </c>
      <c r="C15" t="s">
        <v>32</v>
      </c>
      <c r="D15" t="s">
        <v>43</v>
      </c>
      <c r="E15" s="2">
        <f t="shared" ref="E15:E17" si="0">G15*F15</f>
        <v>13.99</v>
      </c>
      <c r="F15">
        <v>1</v>
      </c>
      <c r="G15" s="2">
        <v>13.99</v>
      </c>
      <c r="I15" s="1" t="s">
        <v>44</v>
      </c>
    </row>
    <row r="16" spans="2:9" x14ac:dyDescent="0.25">
      <c r="B16">
        <v>3</v>
      </c>
      <c r="C16" t="s">
        <v>33</v>
      </c>
      <c r="D16" t="s">
        <v>45</v>
      </c>
      <c r="E16" s="2">
        <f t="shared" si="0"/>
        <v>12.99</v>
      </c>
      <c r="F16">
        <v>1</v>
      </c>
      <c r="G16" s="2">
        <v>12.99</v>
      </c>
      <c r="I16" s="1" t="s">
        <v>46</v>
      </c>
    </row>
    <row r="17" spans="2:9" x14ac:dyDescent="0.25">
      <c r="B17">
        <v>3</v>
      </c>
      <c r="C17" t="s">
        <v>34</v>
      </c>
      <c r="D17" t="s">
        <v>48</v>
      </c>
      <c r="E17" s="2">
        <f t="shared" si="0"/>
        <v>13.99</v>
      </c>
      <c r="F17">
        <v>1</v>
      </c>
      <c r="G17" s="2">
        <v>13.99</v>
      </c>
      <c r="I17" s="1" t="s">
        <v>47</v>
      </c>
    </row>
    <row r="18" spans="2:9" x14ac:dyDescent="0.25">
      <c r="D18" s="4" t="s">
        <v>49</v>
      </c>
      <c r="E18" s="4"/>
      <c r="F18" s="4"/>
      <c r="G18" s="2">
        <f>SUM(G12:G17)</f>
        <v>82.33</v>
      </c>
    </row>
    <row r="19" spans="2:9" x14ac:dyDescent="0.25">
      <c r="E19" s="2"/>
      <c r="G19" s="2"/>
    </row>
    <row r="20" spans="2:9" x14ac:dyDescent="0.25">
      <c r="E20" s="2"/>
      <c r="G20" s="2"/>
    </row>
    <row r="21" spans="2:9" x14ac:dyDescent="0.25">
      <c r="E21" s="2"/>
      <c r="G21" s="2"/>
    </row>
    <row r="22" spans="2:9" x14ac:dyDescent="0.25">
      <c r="E22" s="2"/>
      <c r="G22" s="2"/>
    </row>
    <row r="23" spans="2:9" x14ac:dyDescent="0.25">
      <c r="E23" s="2"/>
      <c r="G23" s="2"/>
    </row>
    <row r="24" spans="2:9" x14ac:dyDescent="0.25">
      <c r="E24" s="2"/>
      <c r="G24" s="2"/>
    </row>
    <row r="25" spans="2:9" x14ac:dyDescent="0.25">
      <c r="E25" s="2"/>
      <c r="G25" s="2"/>
    </row>
    <row r="26" spans="2:9" x14ac:dyDescent="0.25">
      <c r="E26" s="2"/>
      <c r="G26" s="2"/>
    </row>
    <row r="27" spans="2:9" x14ac:dyDescent="0.25">
      <c r="E27" s="2"/>
      <c r="G27" s="2"/>
    </row>
    <row r="28" spans="2:9" x14ac:dyDescent="0.25">
      <c r="E28" s="2"/>
      <c r="G28" s="2"/>
    </row>
    <row r="29" spans="2:9" x14ac:dyDescent="0.25">
      <c r="E29" s="2"/>
      <c r="G29" s="2"/>
    </row>
    <row r="30" spans="2:9" x14ac:dyDescent="0.25">
      <c r="E30" s="2"/>
      <c r="G30" s="2"/>
    </row>
    <row r="31" spans="2:9" x14ac:dyDescent="0.25">
      <c r="E31" s="2"/>
      <c r="G31" s="2"/>
    </row>
    <row r="32" spans="2:9" x14ac:dyDescent="0.25">
      <c r="E32" s="2"/>
    </row>
  </sheetData>
  <mergeCells count="4">
    <mergeCell ref="B1:H1"/>
    <mergeCell ref="B10:H10"/>
    <mergeCell ref="D9:F9"/>
    <mergeCell ref="D18:F18"/>
  </mergeCells>
  <hyperlinks>
    <hyperlink ref="I4" r:id="rId1" xr:uid="{A83BC681-1B78-4CEA-9147-C97E014CF23A}"/>
    <hyperlink ref="I5" r:id="rId2" xr:uid="{38F34A3D-9E46-413F-89DD-B96947A5E3DA}"/>
    <hyperlink ref="I6" r:id="rId3" xr:uid="{00AF63C8-A417-42EA-A639-B5C69C7A1897}"/>
    <hyperlink ref="I8" r:id="rId4" xr:uid="{E0CB1746-665B-466E-AEAF-5633040628C5}"/>
    <hyperlink ref="I7" r:id="rId5" xr:uid="{E50C1B01-94FE-456E-AF56-E2D89B87FD19}"/>
    <hyperlink ref="I12" r:id="rId6" xr:uid="{F2F00522-37C5-4DCF-B0CB-3E5F057994A4}"/>
    <hyperlink ref="I13" r:id="rId7" xr:uid="{7D5EA296-958B-4297-92E9-B78C9D2CBD7B}"/>
    <hyperlink ref="I14" r:id="rId8" xr:uid="{9E255836-A09E-44CA-A14C-F3711A096B40}"/>
    <hyperlink ref="I15" r:id="rId9" xr:uid="{6AFECFD4-7D2D-4AF8-AE6A-6E3898A64926}"/>
    <hyperlink ref="I16" r:id="rId10" xr:uid="{F1F70D16-9DE2-4EC8-90D5-761E95110EA1}"/>
    <hyperlink ref="I17" r:id="rId11" xr:uid="{77D6296B-7A95-48DF-8BCD-7E4A2CB6B9AE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EVANS</dc:creator>
  <cp:lastModifiedBy>Seth EVANS</cp:lastModifiedBy>
  <dcterms:created xsi:type="dcterms:W3CDTF">2025-10-31T15:43:07Z</dcterms:created>
  <dcterms:modified xsi:type="dcterms:W3CDTF">2025-10-31T16:18:30Z</dcterms:modified>
</cp:coreProperties>
</file>